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Vaya\OneDrive - AP Hogeschool Antwerpen\_Cursusmateriaal\Enterprise Networking\Ontwikkeling ENNW\"/>
    </mc:Choice>
  </mc:AlternateContent>
  <xr:revisionPtr revIDLastSave="680" documentId="13_ncr:1_{57831D90-9306-4515-8DF1-9B3630AB94EE}" xr6:coauthVersionLast="47" xr6:coauthVersionMax="47" xr10:uidLastSave="{2D85E787-1CA0-4264-B5FA-D354D8BE9331}"/>
  <bookViews>
    <workbookView minimized="1" xWindow="-105" yWindow="-105" windowWidth="23250" windowHeight="12570" xr2:uid="{64EEB934-C043-4BC0-B66C-A1EED8AA04F3}"/>
  </bookViews>
  <sheets>
    <sheet name="Actieplan" sheetId="1" r:id="rId1"/>
    <sheet name="Groepslede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1" l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43" i="1"/>
  <c r="A44" i="1"/>
  <c r="A45" i="1"/>
  <c r="A46" i="1"/>
  <c r="A47" i="1"/>
  <c r="A48" i="1"/>
  <c r="A49" i="1"/>
  <c r="A50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</calcChain>
</file>

<file path=xl/sharedStrings.xml><?xml version="1.0" encoding="utf-8"?>
<sst xmlns="http://schemas.openxmlformats.org/spreadsheetml/2006/main" count="321" uniqueCount="73">
  <si>
    <t>ID</t>
  </si>
  <si>
    <t>Beschrijving</t>
  </si>
  <si>
    <t>Deadline</t>
  </si>
  <si>
    <t>Status</t>
  </si>
  <si>
    <t>Uitvoerder</t>
  </si>
  <si>
    <t>Verificator</t>
  </si>
  <si>
    <t>Verificatiestatus</t>
  </si>
  <si>
    <t>Router 1 adressering</t>
  </si>
  <si>
    <t>Uitgevoerd</t>
  </si>
  <si>
    <t>Tim Govaers</t>
  </si>
  <si>
    <t>Meul Isaa</t>
  </si>
  <si>
    <t>OK</t>
  </si>
  <si>
    <t>Router 2 adressering</t>
  </si>
  <si>
    <t>Router 3 adressering</t>
  </si>
  <si>
    <t>Router 4 adressering</t>
  </si>
  <si>
    <t>VLANS toevoegen</t>
  </si>
  <si>
    <t>Ezzarfani Dina</t>
  </si>
  <si>
    <t>Access Switch 1 Poorttoewijzingen</t>
  </si>
  <si>
    <t>Access Switch 2 Poorttoewijzingen</t>
  </si>
  <si>
    <t>DistributieSwitch 1 Poorttoewijzingen</t>
  </si>
  <si>
    <t>DistributieSwitch 2 Poorttoewijzingen</t>
  </si>
  <si>
    <t>AS1 mgmt IP, SSH security</t>
  </si>
  <si>
    <t>AS2 mgmt IP, SSH security</t>
  </si>
  <si>
    <t>DS1 mgmt IP, SSH security</t>
  </si>
  <si>
    <t>DS2 mgmt IP, SSH security</t>
  </si>
  <si>
    <t>R1 mgmt IP, SSH security</t>
  </si>
  <si>
    <t>R2 mgmt IP, SSH security</t>
  </si>
  <si>
    <t>poortchannel 1 aangemaakt (AS1-DS1)</t>
  </si>
  <si>
    <t>El Moussaoui Amal</t>
  </si>
  <si>
    <t>poortchannel 2 aangemaakt (AS1-DS2)</t>
  </si>
  <si>
    <t>poortchannel 3 aangemaakt (AS2-DS1)</t>
  </si>
  <si>
    <t>poortchannel 4 aangemaakt (DS2-AS2)</t>
  </si>
  <si>
    <t>poortchannel 5 aangemaakt  (DS1-DS2)</t>
  </si>
  <si>
    <t>Reconfig: Po1 (AS1 - DS1)</t>
  </si>
  <si>
    <t>Reconfig: Po2 (AS1 - DS2)</t>
  </si>
  <si>
    <t>Reconfig: Po3 (AS2 - DS1)</t>
  </si>
  <si>
    <t>Reconfig: Po4 (AS2 - DS2)</t>
  </si>
  <si>
    <t>Reconfig: Po5 (DS1 - DS2)</t>
  </si>
  <si>
    <t xml:space="preserve">STP: DS1 PVST - VLAN 3,100 primary </t>
  </si>
  <si>
    <t>STP: DS1 PVST - VLAN 99,200 secondary</t>
  </si>
  <si>
    <t xml:space="preserve">STP: DS2 PVST - VLAN 99,200 primary </t>
  </si>
  <si>
    <t xml:space="preserve">STP: DS2 PVST - VLAN 3,100 secondary </t>
  </si>
  <si>
    <t>STP: AS1 PVST - Fa0/3 - 24 Portfast + BPDUguard</t>
  </si>
  <si>
    <t>STP: AS2 PVST - Fa0/3 - 24 Portfast + BPDUguard</t>
  </si>
  <si>
    <t>Port Security AS1 - Fa0/4-24 access poorten MAC-max-learning limit (1 via elke poort)+ adres remove na 15 min</t>
  </si>
  <si>
    <t>Port Security AS2 - access poorten MAC-max-learning limit (3 via elke poort) + adres remove na 5 min</t>
  </si>
  <si>
    <t xml:space="preserve">Port Security AS1 - Fa0/3 mgmt-laptop-MAC-adres only allowed + 1 extra MAC dynamisch (adres remove na 10 min) </t>
  </si>
  <si>
    <t xml:space="preserve">Port Security AS2 - Fa0/3 mgmt-laptop-MAC-adres only allowed + 1 extra MAC dynamisch (adres remove na 10 min) </t>
  </si>
  <si>
    <t xml:space="preserve">Port Security DS1 - G1/0/11 mgmt-laptop-MAC-adres only allowed + 1 extra MAC dynamisch (adres remove na 10 min) </t>
  </si>
  <si>
    <t xml:space="preserve">Port Security DS2 - G1/0/11 mgmt-laptop-MAC-adres only allowed + 1 extra MAC dynamisch (adres remove na 10 min) </t>
  </si>
  <si>
    <t>Unused Ports DS1 - G1/0/12 - 24 + G1/1/1 - 4 in VLAN1111 en shutdown</t>
  </si>
  <si>
    <t>Unused Ports DS2 - G1/0/12 - 24 + G1/1/1 - 4 in VLAN1111 en shutdown</t>
  </si>
  <si>
    <t>Unused Ports AS1 - Fa0/4 - 24 in VLAN100 en shutdown</t>
  </si>
  <si>
    <t>Unused Ports AS2 - Fa0/4 - 24 in VLAN200 en shutdown</t>
  </si>
  <si>
    <t>Anti-VLAN-hopping AS1 - Fa0/3 - 24 in "switchport nonegotiate"</t>
  </si>
  <si>
    <t>Anti-VLAN-hopping AS2 - Fa0/3 - 24 in "switchport nonegotiate"</t>
  </si>
  <si>
    <t>Anti-VLAN-hopping DS1 - trunk encapsulation, allowed VLANS en Native VLAN controleren, "switchport nonegotiate"</t>
  </si>
  <si>
    <t>Anti-VLAN-hopping DS2 - trunk encapsulation, allowed VLANS en Native VLAN controleren, "switchport nonegotiate"</t>
  </si>
  <si>
    <t xml:space="preserve">DHCP-Snooping Vlan100 </t>
  </si>
  <si>
    <t>Trusted Interfaces AS1: G0/0, G1/0, Fa0/1, Fa0/2</t>
  </si>
  <si>
    <t>AS1: limit rate 8 : Fa0/3-24</t>
  </si>
  <si>
    <t>DHCP-Snooping Vlan200</t>
  </si>
  <si>
    <t>Trusted Interfaces AS2: G0/0, G1/0, Fa0/1, Fa0/2</t>
  </si>
  <si>
    <t>AS2 limit rate 8: Fa0/3-24</t>
  </si>
  <si>
    <t>AS1&amp;2 ip arp inspection vlan 100,200 + ip arp inspection validate src-mac dst-mac ip</t>
  </si>
  <si>
    <t>OSPF Routering: R1 (Process-ID 123, Area 0)</t>
  </si>
  <si>
    <t>OSPF Routering: R2 (Process-ID 123, Area 0)</t>
  </si>
  <si>
    <t xml:space="preserve">OSPF Routering: R1. OSPF interfaces: G0/0.3, G0/0.100, G0/0.200, G2/0. Passive interfaces: G0/0.3, G0/0.100, G0/0.200.
</t>
  </si>
  <si>
    <t xml:space="preserve">OSPF Routering: R2. OSPF interfaces: G0/0.3, G0/0.100, G0/0.200, G2/0. Passive interfaces: G0/0.3, G0/0.100, G0/0.200.
</t>
  </si>
  <si>
    <t>OSPF Routering: R3 (Process-ID 123, Area 0)</t>
  </si>
  <si>
    <t>OSPF Routering: R4 (Process-ID 123, Area 0)</t>
  </si>
  <si>
    <t xml:space="preserve">OSPF Routering: R3. OSPF interfaces: G0/2 Passive interfaces: G0/0, G0/1, G0/3, 
</t>
  </si>
  <si>
    <t xml:space="preserve">OSPF Routering: R4. OSPF interfaces: G0/2 Passive interfaces: G0/0, G0/1, G0/3,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</si>
</sst>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/>
    <xf numFmtId="49" fontId="0" fillId="0" borderId="1" xfId="0" applyNumberFormat="1" applyBorder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</cellXfs>
  <cellStyles count="1">
    <cellStyle name="Standaard" xfId="0" builtinId="0"/>
  </cellStyles>
  <dxfs count="10">
    <dxf>
      <numFmt numFmtId="30" formatCode="@"/>
    </dxf>
    <dxf>
      <alignment horizontal="center" vertical="bottom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87AE93-5487-465E-8DC4-CA83925CC779}" name="Table1" displayName="Table1" ref="A1:G70" totalsRowShown="0" headerRowDxfId="4" headerRowBorderDxfId="2" tableBorderDxfId="3">
  <autoFilter ref="A1:G70" xr:uid="{B387AE93-5487-465E-8DC4-CA83925CC779}"/>
  <tableColumns count="7">
    <tableColumn id="1" xr3:uid="{80F1423A-959B-43B4-9A5A-A9FE32FA75F9}" name="ID" dataDxfId="1">
      <calculatedColumnFormula>ROW() - ROW(Table1[[#Headers],[ID]])</calculatedColumnFormula>
    </tableColumn>
    <tableColumn id="2" xr3:uid="{C7DE4608-C275-4E27-BC61-AED02E7BBD19}" name="Beschrijving"/>
    <tableColumn id="3" xr3:uid="{F8DC4376-D258-4AC8-BB61-95E58C7EACFE}" name="Deadline"/>
    <tableColumn id="5" xr3:uid="{376CA7B6-7C91-41B0-9A7D-FE703B9BD98F}" name="Status"/>
    <tableColumn id="6" xr3:uid="{DFC43C26-C9BA-4D52-B603-54FB78A60E7B}" name="Uitvoerder"/>
    <tableColumn id="9" xr3:uid="{3C9BE17E-7A3F-4CB2-A434-2AB7710DE722}" name="Verificator"/>
    <tableColumn id="10" xr3:uid="{7B8E18CC-6E5A-4685-A923-38F1C08A1489}" name="Verificatie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6F8D-54FB-4B25-BE4E-163264D8C5A8}">
  <dimension ref="A1:G70"/>
  <sheetViews>
    <sheetView tabSelected="1" topLeftCell="A43" workbookViewId="0">
      <selection activeCell="B64" sqref="B64"/>
    </sheetView>
  </sheetViews>
  <sheetFormatPr defaultRowHeight="14.25"/>
  <cols>
    <col min="1" max="1" width="9.7109375" customWidth="1"/>
    <col min="2" max="2" width="49.5703125" customWidth="1"/>
    <col min="3" max="3" width="14.140625" customWidth="1"/>
    <col min="4" max="4" width="19.7109375" customWidth="1"/>
    <col min="5" max="5" width="22.28515625" customWidth="1"/>
    <col min="6" max="6" width="23.42578125" customWidth="1"/>
    <col min="7" max="7" width="22" style="2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5">
      <c r="A2" s="7">
        <f>ROW() - ROW(Table1[[#Headers],[ID]])</f>
        <v>1</v>
      </c>
      <c r="B2" s="10" t="s">
        <v>7</v>
      </c>
      <c r="C2" s="1">
        <v>45939</v>
      </c>
      <c r="D2" s="1" t="s">
        <v>8</v>
      </c>
      <c r="E2" t="s">
        <v>9</v>
      </c>
      <c r="F2" s="1" t="s">
        <v>10</v>
      </c>
      <c r="G2" s="2" t="s">
        <v>11</v>
      </c>
    </row>
    <row r="3" spans="1:7" ht="15">
      <c r="A3" s="7">
        <f>ROW() - ROW(Table1[[#Headers],[ID]])</f>
        <v>2</v>
      </c>
      <c r="B3" s="9" t="s">
        <v>12</v>
      </c>
      <c r="C3" s="1">
        <v>45939</v>
      </c>
      <c r="D3" s="1" t="s">
        <v>8</v>
      </c>
      <c r="E3" t="s">
        <v>9</v>
      </c>
      <c r="F3" s="1" t="s">
        <v>10</v>
      </c>
      <c r="G3" s="2" t="s">
        <v>11</v>
      </c>
    </row>
    <row r="4" spans="1:7" ht="15">
      <c r="A4" s="7">
        <f>ROW() - ROW(Table1[[#Headers],[ID]])</f>
        <v>3</v>
      </c>
      <c r="B4" s="9" t="s">
        <v>13</v>
      </c>
      <c r="C4" s="1">
        <v>45939</v>
      </c>
      <c r="D4" s="1" t="s">
        <v>8</v>
      </c>
      <c r="E4" t="s">
        <v>9</v>
      </c>
      <c r="F4" s="1" t="s">
        <v>10</v>
      </c>
      <c r="G4" s="3" t="s">
        <v>11</v>
      </c>
    </row>
    <row r="5" spans="1:7" ht="15">
      <c r="A5" s="7">
        <f>ROW() - ROW(Table1[[#Headers],[ID]])</f>
        <v>4</v>
      </c>
      <c r="B5" s="9" t="s">
        <v>14</v>
      </c>
      <c r="C5" s="1">
        <v>45939</v>
      </c>
      <c r="D5" t="s">
        <v>8</v>
      </c>
      <c r="E5" t="s">
        <v>9</v>
      </c>
      <c r="F5" s="1" t="s">
        <v>10</v>
      </c>
      <c r="G5" s="2" t="s">
        <v>11</v>
      </c>
    </row>
    <row r="6" spans="1:7" ht="15">
      <c r="A6" s="7">
        <f>ROW() - ROW(Table1[[#Headers],[ID]])</f>
        <v>5</v>
      </c>
      <c r="B6" s="9" t="s">
        <v>15</v>
      </c>
      <c r="C6" s="1">
        <v>45943</v>
      </c>
      <c r="D6" t="s">
        <v>8</v>
      </c>
      <c r="E6" t="s">
        <v>16</v>
      </c>
      <c r="F6" s="1" t="s">
        <v>9</v>
      </c>
      <c r="G6" s="2" t="s">
        <v>11</v>
      </c>
    </row>
    <row r="7" spans="1:7" ht="15">
      <c r="A7" s="7">
        <f>ROW() - ROW(Table1[[#Headers],[ID]])</f>
        <v>6</v>
      </c>
      <c r="B7" s="9" t="s">
        <v>17</v>
      </c>
      <c r="C7" s="1">
        <v>45943</v>
      </c>
      <c r="D7" t="s">
        <v>8</v>
      </c>
      <c r="E7" t="s">
        <v>16</v>
      </c>
      <c r="F7" s="1" t="s">
        <v>9</v>
      </c>
      <c r="G7" s="2" t="s">
        <v>11</v>
      </c>
    </row>
    <row r="8" spans="1:7" ht="15">
      <c r="A8" s="7">
        <f>ROW() - ROW(Table1[[#Headers],[ID]])</f>
        <v>7</v>
      </c>
      <c r="B8" s="9" t="s">
        <v>18</v>
      </c>
      <c r="C8" s="1">
        <v>45943</v>
      </c>
      <c r="D8" t="s">
        <v>8</v>
      </c>
      <c r="E8" t="s">
        <v>16</v>
      </c>
      <c r="F8" s="1" t="s">
        <v>9</v>
      </c>
      <c r="G8" s="2" t="s">
        <v>11</v>
      </c>
    </row>
    <row r="9" spans="1:7" ht="15">
      <c r="A9" s="7">
        <f>ROW() - ROW(Table1[[#Headers],[ID]])</f>
        <v>8</v>
      </c>
      <c r="B9" s="9" t="s">
        <v>19</v>
      </c>
      <c r="C9" s="1">
        <v>45943</v>
      </c>
      <c r="D9" t="s">
        <v>8</v>
      </c>
      <c r="E9" t="s">
        <v>16</v>
      </c>
      <c r="F9" s="1" t="s">
        <v>9</v>
      </c>
      <c r="G9" s="2" t="s">
        <v>11</v>
      </c>
    </row>
    <row r="10" spans="1:7" ht="15">
      <c r="A10" s="7">
        <f>ROW() - ROW(Table1[[#Headers],[ID]])</f>
        <v>9</v>
      </c>
      <c r="B10" s="9" t="s">
        <v>20</v>
      </c>
      <c r="C10" s="1">
        <v>45943</v>
      </c>
      <c r="D10" t="s">
        <v>8</v>
      </c>
      <c r="E10" t="s">
        <v>16</v>
      </c>
      <c r="F10" s="1" t="s">
        <v>9</v>
      </c>
      <c r="G10" s="2" t="s">
        <v>11</v>
      </c>
    </row>
    <row r="11" spans="1:7" ht="15">
      <c r="A11" s="7">
        <f>ROW() - ROW(Table1[[#Headers],[ID]])</f>
        <v>10</v>
      </c>
      <c r="B11" s="9" t="s">
        <v>21</v>
      </c>
      <c r="C11" s="1">
        <v>45949</v>
      </c>
      <c r="D11" t="s">
        <v>8</v>
      </c>
      <c r="E11" t="s">
        <v>10</v>
      </c>
      <c r="F11" s="1" t="s">
        <v>9</v>
      </c>
      <c r="G11" s="2" t="s">
        <v>11</v>
      </c>
    </row>
    <row r="12" spans="1:7" ht="15">
      <c r="A12" s="7">
        <f>ROW() - ROW(Table1[[#Headers],[ID]])</f>
        <v>11</v>
      </c>
      <c r="B12" s="9" t="s">
        <v>22</v>
      </c>
      <c r="C12" s="1">
        <v>45949</v>
      </c>
      <c r="D12" t="s">
        <v>8</v>
      </c>
      <c r="E12" t="s">
        <v>10</v>
      </c>
      <c r="F12" s="1" t="s">
        <v>9</v>
      </c>
      <c r="G12" s="2" t="s">
        <v>11</v>
      </c>
    </row>
    <row r="13" spans="1:7" ht="15">
      <c r="A13" s="7">
        <f>ROW() - ROW(Table1[[#Headers],[ID]])</f>
        <v>12</v>
      </c>
      <c r="B13" s="9" t="s">
        <v>23</v>
      </c>
      <c r="C13" s="1">
        <v>45949</v>
      </c>
      <c r="D13" t="s">
        <v>8</v>
      </c>
      <c r="E13" t="s">
        <v>10</v>
      </c>
      <c r="F13" s="1" t="s">
        <v>9</v>
      </c>
      <c r="G13" s="2" t="s">
        <v>11</v>
      </c>
    </row>
    <row r="14" spans="1:7" ht="15">
      <c r="A14" s="7">
        <f>ROW() - ROW(Table1[[#Headers],[ID]])</f>
        <v>13</v>
      </c>
      <c r="B14" s="9" t="s">
        <v>24</v>
      </c>
      <c r="C14" s="6">
        <v>45949</v>
      </c>
      <c r="D14" t="s">
        <v>8</v>
      </c>
      <c r="E14" t="s">
        <v>10</v>
      </c>
      <c r="F14" s="1" t="s">
        <v>9</v>
      </c>
      <c r="G14" s="2" t="s">
        <v>11</v>
      </c>
    </row>
    <row r="15" spans="1:7" ht="15">
      <c r="A15" s="7">
        <f>ROW() - ROW(Table1[[#Headers],[ID]])</f>
        <v>14</v>
      </c>
      <c r="B15" s="9" t="s">
        <v>25</v>
      </c>
      <c r="C15" s="6">
        <v>45949</v>
      </c>
      <c r="D15" t="s">
        <v>8</v>
      </c>
      <c r="E15" t="s">
        <v>10</v>
      </c>
      <c r="F15" s="1" t="s">
        <v>9</v>
      </c>
      <c r="G15" s="2" t="s">
        <v>11</v>
      </c>
    </row>
    <row r="16" spans="1:7" ht="15">
      <c r="A16" s="7">
        <f>ROW() - ROW(Table1[[#Headers],[ID]])</f>
        <v>15</v>
      </c>
      <c r="B16" s="11" t="s">
        <v>26</v>
      </c>
      <c r="C16" s="6">
        <v>45949</v>
      </c>
      <c r="D16" t="s">
        <v>8</v>
      </c>
      <c r="E16" t="s">
        <v>10</v>
      </c>
      <c r="F16" s="1" t="s">
        <v>9</v>
      </c>
      <c r="G16" s="2" t="s">
        <v>11</v>
      </c>
    </row>
    <row r="17" spans="1:7" ht="15">
      <c r="A17" s="7">
        <f>ROW() - ROW(Table1[[#Headers],[ID]])</f>
        <v>16</v>
      </c>
      <c r="B17" s="9" t="s">
        <v>27</v>
      </c>
      <c r="C17" s="1">
        <v>45943</v>
      </c>
      <c r="D17" t="s">
        <v>8</v>
      </c>
      <c r="E17" t="s">
        <v>28</v>
      </c>
      <c r="F17" s="1" t="s">
        <v>16</v>
      </c>
      <c r="G17" s="2" t="s">
        <v>11</v>
      </c>
    </row>
    <row r="18" spans="1:7" ht="15">
      <c r="A18" s="7">
        <f>ROW() - ROW(Table1[[#Headers],[ID]])</f>
        <v>17</v>
      </c>
      <c r="B18" s="9" t="s">
        <v>29</v>
      </c>
      <c r="C18" s="1">
        <v>45943</v>
      </c>
      <c r="D18" t="s">
        <v>8</v>
      </c>
      <c r="E18" t="s">
        <v>28</v>
      </c>
      <c r="F18" s="1" t="s">
        <v>16</v>
      </c>
      <c r="G18" s="2" t="s">
        <v>11</v>
      </c>
    </row>
    <row r="19" spans="1:7" ht="15">
      <c r="A19" s="7">
        <f>ROW() - ROW(Table1[[#Headers],[ID]])</f>
        <v>18</v>
      </c>
      <c r="B19" s="9" t="s">
        <v>30</v>
      </c>
      <c r="C19" s="1">
        <v>45943</v>
      </c>
      <c r="D19" t="s">
        <v>8</v>
      </c>
      <c r="E19" t="s">
        <v>28</v>
      </c>
      <c r="F19" s="1" t="s">
        <v>16</v>
      </c>
      <c r="G19" s="2" t="s">
        <v>11</v>
      </c>
    </row>
    <row r="20" spans="1:7" ht="15">
      <c r="A20" s="7">
        <f>ROW() - ROW(Table1[[#Headers],[ID]])</f>
        <v>19</v>
      </c>
      <c r="B20" s="9" t="s">
        <v>31</v>
      </c>
      <c r="C20" s="1">
        <v>45943</v>
      </c>
      <c r="D20" t="s">
        <v>8</v>
      </c>
      <c r="E20" t="s">
        <v>28</v>
      </c>
      <c r="F20" s="1" t="s">
        <v>16</v>
      </c>
      <c r="G20" s="2" t="s">
        <v>11</v>
      </c>
    </row>
    <row r="21" spans="1:7" ht="15">
      <c r="A21" s="7">
        <f>ROW() - ROW(Table1[[#Headers],[ID]])</f>
        <v>20</v>
      </c>
      <c r="B21" s="9" t="s">
        <v>32</v>
      </c>
      <c r="C21" s="1">
        <v>45943</v>
      </c>
      <c r="D21" t="s">
        <v>8</v>
      </c>
      <c r="E21" t="s">
        <v>28</v>
      </c>
      <c r="F21" s="1" t="s">
        <v>16</v>
      </c>
      <c r="G21" s="2" t="s">
        <v>11</v>
      </c>
    </row>
    <row r="22" spans="1:7" ht="15">
      <c r="A22" s="7">
        <f>ROW() - ROW(Table1[[#Headers],[ID]])</f>
        <v>21</v>
      </c>
      <c r="B22" s="9" t="s">
        <v>33</v>
      </c>
      <c r="C22" s="1">
        <v>45948</v>
      </c>
      <c r="D22" t="s">
        <v>8</v>
      </c>
      <c r="E22" t="s">
        <v>10</v>
      </c>
      <c r="F22" s="1" t="s">
        <v>16</v>
      </c>
      <c r="G22" s="2" t="s">
        <v>11</v>
      </c>
    </row>
    <row r="23" spans="1:7" ht="15">
      <c r="A23" s="7">
        <f>ROW() - ROW(Table1[[#Headers],[ID]])</f>
        <v>22</v>
      </c>
      <c r="B23" s="9" t="s">
        <v>34</v>
      </c>
      <c r="C23" s="1">
        <v>45948</v>
      </c>
      <c r="D23" t="s">
        <v>8</v>
      </c>
      <c r="E23" t="s">
        <v>10</v>
      </c>
      <c r="F23" s="1" t="s">
        <v>16</v>
      </c>
      <c r="G23" s="2" t="s">
        <v>11</v>
      </c>
    </row>
    <row r="24" spans="1:7" ht="15">
      <c r="A24" s="7">
        <f>ROW() - ROW(Table1[[#Headers],[ID]])</f>
        <v>23</v>
      </c>
      <c r="B24" s="9" t="s">
        <v>35</v>
      </c>
      <c r="C24" s="1">
        <v>45948</v>
      </c>
      <c r="D24" t="s">
        <v>8</v>
      </c>
      <c r="E24" t="s">
        <v>10</v>
      </c>
      <c r="F24" s="1" t="s">
        <v>16</v>
      </c>
      <c r="G24" s="2" t="s">
        <v>11</v>
      </c>
    </row>
    <row r="25" spans="1:7" ht="15">
      <c r="A25" s="7">
        <f>ROW() - ROW(Table1[[#Headers],[ID]])</f>
        <v>24</v>
      </c>
      <c r="B25" s="9" t="s">
        <v>36</v>
      </c>
      <c r="C25" s="1">
        <v>45948</v>
      </c>
      <c r="D25" t="s">
        <v>8</v>
      </c>
      <c r="E25" t="s">
        <v>10</v>
      </c>
      <c r="F25" s="1" t="s">
        <v>16</v>
      </c>
      <c r="G25" s="2" t="s">
        <v>11</v>
      </c>
    </row>
    <row r="26" spans="1:7" ht="15">
      <c r="A26" s="7">
        <f>ROW() - ROW(Table1[[#Headers],[ID]])</f>
        <v>25</v>
      </c>
      <c r="B26" s="9" t="s">
        <v>37</v>
      </c>
      <c r="C26" s="1">
        <v>45948</v>
      </c>
      <c r="D26" t="s">
        <v>8</v>
      </c>
      <c r="E26" t="s">
        <v>10</v>
      </c>
      <c r="F26" s="1" t="s">
        <v>16</v>
      </c>
      <c r="G26" s="2" t="s">
        <v>11</v>
      </c>
    </row>
    <row r="27" spans="1:7" ht="15">
      <c r="A27" s="7">
        <f>ROW() - ROW(Table1[[#Headers],[ID]])</f>
        <v>26</v>
      </c>
      <c r="B27" s="9" t="s">
        <v>38</v>
      </c>
      <c r="C27" s="1">
        <v>45948</v>
      </c>
      <c r="D27" t="s">
        <v>8</v>
      </c>
      <c r="E27" t="s">
        <v>10</v>
      </c>
      <c r="F27" s="1" t="s">
        <v>16</v>
      </c>
      <c r="G27" s="2" t="s">
        <v>11</v>
      </c>
    </row>
    <row r="28" spans="1:7" ht="15">
      <c r="A28" s="7">
        <f>ROW() - ROW(Table1[[#Headers],[ID]])</f>
        <v>27</v>
      </c>
      <c r="B28" s="9" t="s">
        <v>39</v>
      </c>
      <c r="C28" s="1">
        <v>45948</v>
      </c>
      <c r="D28" t="s">
        <v>8</v>
      </c>
      <c r="E28" t="s">
        <v>10</v>
      </c>
      <c r="F28" s="1" t="s">
        <v>16</v>
      </c>
      <c r="G28" s="2" t="s">
        <v>11</v>
      </c>
    </row>
    <row r="29" spans="1:7" ht="15">
      <c r="A29" s="7">
        <f>ROW() - ROW(Table1[[#Headers],[ID]])</f>
        <v>28</v>
      </c>
      <c r="B29" s="9" t="s">
        <v>40</v>
      </c>
      <c r="C29" s="1">
        <v>45948</v>
      </c>
      <c r="D29" t="s">
        <v>8</v>
      </c>
      <c r="E29" t="s">
        <v>10</v>
      </c>
      <c r="F29" s="1" t="s">
        <v>16</v>
      </c>
      <c r="G29" s="2" t="s">
        <v>11</v>
      </c>
    </row>
    <row r="30" spans="1:7" ht="15">
      <c r="A30" s="7">
        <f>ROW() - ROW(Table1[[#Headers],[ID]])</f>
        <v>29</v>
      </c>
      <c r="B30" s="9" t="s">
        <v>41</v>
      </c>
      <c r="C30" s="1">
        <v>45948</v>
      </c>
      <c r="D30" t="s">
        <v>8</v>
      </c>
      <c r="E30" t="s">
        <v>10</v>
      </c>
      <c r="F30" s="1" t="s">
        <v>16</v>
      </c>
      <c r="G30" s="2" t="s">
        <v>11</v>
      </c>
    </row>
    <row r="31" spans="1:7" ht="15">
      <c r="A31" s="7">
        <f>ROW() - ROW(Table1[[#Headers],[ID]])</f>
        <v>30</v>
      </c>
      <c r="B31" s="9" t="s">
        <v>42</v>
      </c>
      <c r="C31" s="1">
        <v>45948</v>
      </c>
      <c r="D31" t="s">
        <v>8</v>
      </c>
      <c r="E31" t="s">
        <v>10</v>
      </c>
      <c r="F31" s="1" t="s">
        <v>16</v>
      </c>
      <c r="G31" s="2" t="s">
        <v>11</v>
      </c>
    </row>
    <row r="32" spans="1:7" ht="15">
      <c r="A32" s="7">
        <f>ROW() - ROW(Table1[[#Headers],[ID]])</f>
        <v>31</v>
      </c>
      <c r="B32" s="9" t="s">
        <v>43</v>
      </c>
      <c r="C32" s="1">
        <v>45948</v>
      </c>
      <c r="D32" t="s">
        <v>8</v>
      </c>
      <c r="E32" t="s">
        <v>10</v>
      </c>
      <c r="F32" s="1" t="s">
        <v>16</v>
      </c>
      <c r="G32" s="2" t="s">
        <v>11</v>
      </c>
    </row>
    <row r="33" spans="1:7" ht="29.25">
      <c r="A33" s="7">
        <f>ROW() - ROW(Table1[[#Headers],[ID]])</f>
        <v>32</v>
      </c>
      <c r="B33" s="9" t="s">
        <v>44</v>
      </c>
      <c r="C33" s="1">
        <v>45949</v>
      </c>
      <c r="D33" t="s">
        <v>8</v>
      </c>
      <c r="E33" t="s">
        <v>10</v>
      </c>
      <c r="F33" s="1" t="s">
        <v>16</v>
      </c>
      <c r="G33" s="2" t="s">
        <v>11</v>
      </c>
    </row>
    <row r="34" spans="1:7" ht="29.25">
      <c r="A34" s="7">
        <f>ROW() - ROW(Table1[[#Headers],[ID]])</f>
        <v>33</v>
      </c>
      <c r="B34" s="9" t="s">
        <v>45</v>
      </c>
      <c r="C34" s="1">
        <v>45949</v>
      </c>
      <c r="D34" t="s">
        <v>8</v>
      </c>
      <c r="E34" t="s">
        <v>10</v>
      </c>
      <c r="F34" s="1" t="s">
        <v>16</v>
      </c>
      <c r="G34" s="2" t="s">
        <v>11</v>
      </c>
    </row>
    <row r="35" spans="1:7" ht="43.5">
      <c r="A35" s="7">
        <f>ROW() - ROW(Table1[[#Headers],[ID]])</f>
        <v>34</v>
      </c>
      <c r="B35" s="9" t="s">
        <v>46</v>
      </c>
      <c r="C35" s="1">
        <v>45949</v>
      </c>
      <c r="D35" t="s">
        <v>8</v>
      </c>
      <c r="E35" t="s">
        <v>10</v>
      </c>
      <c r="F35" s="1" t="s">
        <v>16</v>
      </c>
      <c r="G35" s="2" t="s">
        <v>11</v>
      </c>
    </row>
    <row r="36" spans="1:7" ht="43.5">
      <c r="A36" s="7">
        <f>ROW() - ROW(Table1[[#Headers],[ID]])</f>
        <v>35</v>
      </c>
      <c r="B36" s="9" t="s">
        <v>47</v>
      </c>
      <c r="C36" s="1">
        <v>45949</v>
      </c>
      <c r="D36" t="s">
        <v>8</v>
      </c>
      <c r="E36" t="s">
        <v>10</v>
      </c>
      <c r="F36" s="1" t="s">
        <v>16</v>
      </c>
      <c r="G36" s="2" t="s">
        <v>11</v>
      </c>
    </row>
    <row r="37" spans="1:7" ht="43.5">
      <c r="A37" s="7">
        <f>ROW() - ROW(Table1[[#Headers],[ID]])</f>
        <v>36</v>
      </c>
      <c r="B37" s="9" t="s">
        <v>48</v>
      </c>
      <c r="C37" s="1">
        <v>45949</v>
      </c>
      <c r="D37" t="s">
        <v>8</v>
      </c>
      <c r="E37" t="s">
        <v>10</v>
      </c>
      <c r="F37" s="1" t="s">
        <v>16</v>
      </c>
      <c r="G37" s="2" t="s">
        <v>11</v>
      </c>
    </row>
    <row r="38" spans="1:7" ht="43.5">
      <c r="A38" s="7">
        <f>ROW() - ROW(Table1[[#Headers],[ID]])</f>
        <v>37</v>
      </c>
      <c r="B38" s="9" t="s">
        <v>49</v>
      </c>
      <c r="C38" s="1">
        <v>45949</v>
      </c>
      <c r="D38" t="s">
        <v>8</v>
      </c>
      <c r="E38" t="s">
        <v>10</v>
      </c>
      <c r="F38" s="1" t="s">
        <v>16</v>
      </c>
      <c r="G38" s="2" t="s">
        <v>11</v>
      </c>
    </row>
    <row r="39" spans="1:7" ht="29.25">
      <c r="A39" s="7">
        <f>ROW() - ROW(Table1[[#Headers],[ID]])</f>
        <v>38</v>
      </c>
      <c r="B39" s="9" t="s">
        <v>50</v>
      </c>
      <c r="C39" s="1">
        <v>45949</v>
      </c>
      <c r="D39" t="s">
        <v>8</v>
      </c>
      <c r="E39" t="s">
        <v>10</v>
      </c>
      <c r="F39" s="1" t="s">
        <v>16</v>
      </c>
      <c r="G39" s="2" t="s">
        <v>11</v>
      </c>
    </row>
    <row r="40" spans="1:7" ht="29.25">
      <c r="A40" s="7">
        <f>ROW() - ROW(Table1[[#Headers],[ID]])</f>
        <v>39</v>
      </c>
      <c r="B40" s="9" t="s">
        <v>51</v>
      </c>
      <c r="C40" s="1">
        <v>45949</v>
      </c>
      <c r="D40" t="s">
        <v>8</v>
      </c>
      <c r="E40" t="s">
        <v>10</v>
      </c>
      <c r="F40" s="1" t="s">
        <v>16</v>
      </c>
      <c r="G40" s="2" t="s">
        <v>11</v>
      </c>
    </row>
    <row r="41" spans="1:7" ht="15">
      <c r="A41" s="7">
        <f>ROW() - ROW(Table1[[#Headers],[ID]])</f>
        <v>40</v>
      </c>
      <c r="B41" s="9" t="s">
        <v>52</v>
      </c>
      <c r="C41" s="1">
        <v>45949</v>
      </c>
      <c r="D41" t="s">
        <v>8</v>
      </c>
      <c r="E41" t="s">
        <v>10</v>
      </c>
      <c r="F41" s="1" t="s">
        <v>16</v>
      </c>
      <c r="G41" s="2" t="s">
        <v>11</v>
      </c>
    </row>
    <row r="42" spans="1:7" ht="15">
      <c r="A42" s="7">
        <f>ROW() - ROW(Table1[[#Headers],[ID]])</f>
        <v>41</v>
      </c>
      <c r="B42" s="9" t="s">
        <v>53</v>
      </c>
      <c r="C42" s="1">
        <v>45949</v>
      </c>
      <c r="D42" t="s">
        <v>8</v>
      </c>
      <c r="E42" t="s">
        <v>10</v>
      </c>
      <c r="F42" s="1" t="s">
        <v>16</v>
      </c>
      <c r="G42" s="2" t="s">
        <v>11</v>
      </c>
    </row>
    <row r="43" spans="1:7" ht="29.25">
      <c r="A43" s="7">
        <f>ROW() - ROW(Table1[[#Headers],[ID]])</f>
        <v>42</v>
      </c>
      <c r="B43" s="9" t="s">
        <v>54</v>
      </c>
      <c r="C43" s="1">
        <v>45949</v>
      </c>
      <c r="D43" t="s">
        <v>8</v>
      </c>
      <c r="E43" t="s">
        <v>10</v>
      </c>
      <c r="F43" t="s">
        <v>16</v>
      </c>
      <c r="G43" s="2" t="s">
        <v>11</v>
      </c>
    </row>
    <row r="44" spans="1:7" ht="29.25">
      <c r="A44" s="7">
        <f>ROW() - ROW(Table1[[#Headers],[ID]])</f>
        <v>43</v>
      </c>
      <c r="B44" s="9" t="s">
        <v>55</v>
      </c>
      <c r="C44" s="1">
        <v>45949</v>
      </c>
      <c r="D44" t="s">
        <v>8</v>
      </c>
      <c r="E44" t="s">
        <v>10</v>
      </c>
      <c r="F44" t="s">
        <v>16</v>
      </c>
      <c r="G44" s="2" t="s">
        <v>11</v>
      </c>
    </row>
    <row r="45" spans="1:7" ht="43.5">
      <c r="A45" s="7">
        <f>ROW() - ROW(Table1[[#Headers],[ID]])</f>
        <v>44</v>
      </c>
      <c r="B45" s="9" t="s">
        <v>56</v>
      </c>
      <c r="C45" s="1">
        <v>45949</v>
      </c>
      <c r="D45" t="s">
        <v>8</v>
      </c>
      <c r="E45" t="s">
        <v>10</v>
      </c>
      <c r="F45" t="s">
        <v>16</v>
      </c>
      <c r="G45" s="2" t="s">
        <v>11</v>
      </c>
    </row>
    <row r="46" spans="1:7" ht="43.5">
      <c r="A46" s="7">
        <f>ROW() - ROW(Table1[[#Headers],[ID]])</f>
        <v>45</v>
      </c>
      <c r="B46" s="9" t="s">
        <v>57</v>
      </c>
      <c r="C46" s="1">
        <v>45949</v>
      </c>
      <c r="D46" t="s">
        <v>8</v>
      </c>
      <c r="E46" t="s">
        <v>10</v>
      </c>
      <c r="F46" t="s">
        <v>16</v>
      </c>
      <c r="G46" s="2" t="s">
        <v>11</v>
      </c>
    </row>
    <row r="47" spans="1:7" ht="15">
      <c r="A47" s="7">
        <f>ROW() - ROW(Table1[[#Headers],[ID]])</f>
        <v>46</v>
      </c>
      <c r="B47" s="9" t="s">
        <v>58</v>
      </c>
      <c r="C47" s="1">
        <v>45957</v>
      </c>
      <c r="D47" t="s">
        <v>8</v>
      </c>
      <c r="E47" t="s">
        <v>9</v>
      </c>
      <c r="F47" t="s">
        <v>28</v>
      </c>
      <c r="G47" s="2" t="s">
        <v>11</v>
      </c>
    </row>
    <row r="48" spans="1:7" ht="15">
      <c r="A48" s="7">
        <f>ROW() - ROW(Table1[[#Headers],[ID]])</f>
        <v>47</v>
      </c>
      <c r="B48" s="9" t="s">
        <v>59</v>
      </c>
      <c r="C48" s="1">
        <v>45957</v>
      </c>
      <c r="D48" t="s">
        <v>8</v>
      </c>
      <c r="E48" t="s">
        <v>9</v>
      </c>
      <c r="F48" t="s">
        <v>28</v>
      </c>
      <c r="G48" s="2" t="s">
        <v>11</v>
      </c>
    </row>
    <row r="49" spans="1:7" ht="15">
      <c r="A49" s="7">
        <f>ROW() - ROW(Table1[[#Headers],[ID]])</f>
        <v>48</v>
      </c>
      <c r="B49" s="9" t="s">
        <v>60</v>
      </c>
      <c r="C49" s="1">
        <v>45957</v>
      </c>
      <c r="D49" t="s">
        <v>8</v>
      </c>
      <c r="E49" t="s">
        <v>9</v>
      </c>
      <c r="F49" t="s">
        <v>28</v>
      </c>
      <c r="G49" s="2" t="s">
        <v>11</v>
      </c>
    </row>
    <row r="50" spans="1:7" ht="15">
      <c r="A50" s="7">
        <f>ROW() - ROW(Table1[[#Headers],[ID]])</f>
        <v>49</v>
      </c>
      <c r="B50" s="9" t="s">
        <v>61</v>
      </c>
      <c r="C50" s="1">
        <v>45957</v>
      </c>
      <c r="D50" t="s">
        <v>8</v>
      </c>
      <c r="E50" t="s">
        <v>9</v>
      </c>
      <c r="F50" t="s">
        <v>28</v>
      </c>
      <c r="G50" s="2" t="s">
        <v>11</v>
      </c>
    </row>
    <row r="51" spans="1:7" ht="15">
      <c r="A51" s="7">
        <f>ROW() - ROW(Table1[[#Headers],[ID]])</f>
        <v>50</v>
      </c>
      <c r="B51" s="9" t="s">
        <v>62</v>
      </c>
      <c r="C51" s="1">
        <v>45957</v>
      </c>
      <c r="D51" t="s">
        <v>8</v>
      </c>
      <c r="E51" t="s">
        <v>9</v>
      </c>
      <c r="F51" t="s">
        <v>28</v>
      </c>
      <c r="G51" s="2" t="s">
        <v>11</v>
      </c>
    </row>
    <row r="52" spans="1:7" ht="15">
      <c r="A52" s="7">
        <f>ROW() - ROW(Table1[[#Headers],[ID]])</f>
        <v>51</v>
      </c>
      <c r="B52" s="9" t="s">
        <v>63</v>
      </c>
      <c r="C52" s="1">
        <v>45957</v>
      </c>
      <c r="D52" t="s">
        <v>8</v>
      </c>
      <c r="E52" t="s">
        <v>9</v>
      </c>
      <c r="F52" t="s">
        <v>28</v>
      </c>
      <c r="G52" s="2" t="s">
        <v>11</v>
      </c>
    </row>
    <row r="53" spans="1:7" ht="35.25" customHeight="1">
      <c r="A53" s="7">
        <f>ROW() - ROW(Table1[[#Headers],[ID]])</f>
        <v>52</v>
      </c>
      <c r="B53" s="12" t="s">
        <v>64</v>
      </c>
      <c r="C53" s="1">
        <v>45957</v>
      </c>
      <c r="D53" t="s">
        <v>8</v>
      </c>
      <c r="E53" t="s">
        <v>9</v>
      </c>
      <c r="F53" t="s">
        <v>28</v>
      </c>
      <c r="G53" s="2" t="s">
        <v>11</v>
      </c>
    </row>
    <row r="54" spans="1:7" ht="15">
      <c r="A54" s="7">
        <f>ROW() - ROW(Table1[[#Headers],[ID]])</f>
        <v>53</v>
      </c>
      <c r="B54" s="9" t="s">
        <v>59</v>
      </c>
      <c r="C54" s="1">
        <v>45957</v>
      </c>
      <c r="D54" t="s">
        <v>8</v>
      </c>
      <c r="E54" t="s">
        <v>9</v>
      </c>
      <c r="F54" t="s">
        <v>28</v>
      </c>
      <c r="G54" s="2" t="s">
        <v>11</v>
      </c>
    </row>
    <row r="55" spans="1:7" ht="15">
      <c r="A55" s="7">
        <f>ROW() - ROW(Table1[[#Headers],[ID]])</f>
        <v>54</v>
      </c>
      <c r="B55" s="9" t="s">
        <v>62</v>
      </c>
      <c r="C55" s="1">
        <v>45957</v>
      </c>
      <c r="D55" t="s">
        <v>8</v>
      </c>
      <c r="E55" t="s">
        <v>9</v>
      </c>
      <c r="F55" t="s">
        <v>28</v>
      </c>
      <c r="G55" s="2" t="s">
        <v>11</v>
      </c>
    </row>
    <row r="56" spans="1:7" ht="15.75" customHeight="1">
      <c r="A56" s="7">
        <f>ROW() - ROW(Table1[[#Headers],[ID]])</f>
        <v>55</v>
      </c>
      <c r="B56" s="9" t="s">
        <v>65</v>
      </c>
      <c r="C56" s="1">
        <v>45960</v>
      </c>
      <c r="D56" t="s">
        <v>8</v>
      </c>
      <c r="E56" t="s">
        <v>16</v>
      </c>
      <c r="F56" t="s">
        <v>10</v>
      </c>
      <c r="G56" s="2" t="s">
        <v>11</v>
      </c>
    </row>
    <row r="57" spans="1:7" ht="16.5" customHeight="1">
      <c r="A57" s="7">
        <f>ROW() - ROW(Table1[[#Headers],[ID]])</f>
        <v>56</v>
      </c>
      <c r="B57" s="9" t="s">
        <v>66</v>
      </c>
      <c r="C57" s="1">
        <v>45960</v>
      </c>
      <c r="D57" t="s">
        <v>8</v>
      </c>
      <c r="E57" t="s">
        <v>16</v>
      </c>
      <c r="F57" t="s">
        <v>10</v>
      </c>
      <c r="G57" s="2" t="s">
        <v>11</v>
      </c>
    </row>
    <row r="58" spans="1:7" ht="45.75" customHeight="1">
      <c r="A58" s="7">
        <f>ROW() - ROW(Table1[[#Headers],[ID]])</f>
        <v>57</v>
      </c>
      <c r="B58" s="8" t="s">
        <v>67</v>
      </c>
      <c r="C58" s="1">
        <v>45960</v>
      </c>
      <c r="D58" t="s">
        <v>8</v>
      </c>
      <c r="E58" t="s">
        <v>16</v>
      </c>
      <c r="F58" t="s">
        <v>10</v>
      </c>
      <c r="G58" s="2" t="s">
        <v>11</v>
      </c>
    </row>
    <row r="59" spans="1:7" ht="44.25" customHeight="1">
      <c r="A59" s="7">
        <f>ROW() - ROW(Table1[[#Headers],[ID]])</f>
        <v>58</v>
      </c>
      <c r="B59" s="8" t="s">
        <v>68</v>
      </c>
      <c r="C59" s="1">
        <v>45960</v>
      </c>
      <c r="D59" t="s">
        <v>8</v>
      </c>
      <c r="E59" t="s">
        <v>16</v>
      </c>
      <c r="F59" t="s">
        <v>10</v>
      </c>
      <c r="G59" s="2" t="s">
        <v>11</v>
      </c>
    </row>
    <row r="60" spans="1:7" ht="15">
      <c r="A60" s="7">
        <f>ROW() - ROW(Table1[[#Headers],[ID]])</f>
        <v>59</v>
      </c>
      <c r="B60" s="9" t="s">
        <v>69</v>
      </c>
      <c r="C60" s="1">
        <v>45960</v>
      </c>
      <c r="D60" t="s">
        <v>8</v>
      </c>
      <c r="E60" t="s">
        <v>28</v>
      </c>
      <c r="F60" t="s">
        <v>10</v>
      </c>
      <c r="G60" s="2" t="s">
        <v>11</v>
      </c>
    </row>
    <row r="61" spans="1:7" ht="15">
      <c r="A61" s="7">
        <f>ROW() - ROW(Table1[[#Headers],[ID]])</f>
        <v>60</v>
      </c>
      <c r="B61" s="9" t="s">
        <v>70</v>
      </c>
      <c r="C61" s="1">
        <v>45960</v>
      </c>
      <c r="D61" t="s">
        <v>8</v>
      </c>
      <c r="E61" t="s">
        <v>28</v>
      </c>
      <c r="F61" t="s">
        <v>10</v>
      </c>
      <c r="G61" s="2" t="s">
        <v>11</v>
      </c>
    </row>
    <row r="62" spans="1:7" ht="43.5">
      <c r="A62" s="7">
        <f>ROW() - ROW(Table1[[#Headers],[ID]])</f>
        <v>61</v>
      </c>
      <c r="B62" s="8" t="s">
        <v>71</v>
      </c>
      <c r="C62" s="1">
        <v>45960</v>
      </c>
      <c r="D62" t="s">
        <v>8</v>
      </c>
      <c r="E62" t="s">
        <v>28</v>
      </c>
      <c r="F62" t="s">
        <v>10</v>
      </c>
      <c r="G62" s="2" t="s">
        <v>11</v>
      </c>
    </row>
    <row r="63" spans="1:7" ht="43.5">
      <c r="A63" s="7">
        <f>ROW() - ROW(Table1[[#Headers],[ID]])</f>
        <v>62</v>
      </c>
      <c r="B63" s="8" t="s">
        <v>72</v>
      </c>
      <c r="C63" s="1">
        <v>45960</v>
      </c>
      <c r="D63" t="s">
        <v>8</v>
      </c>
      <c r="E63" t="s">
        <v>28</v>
      </c>
      <c r="F63" t="s">
        <v>10</v>
      </c>
      <c r="G63" s="2" t="s">
        <v>11</v>
      </c>
    </row>
    <row r="64" spans="1:7" ht="15">
      <c r="A64" s="7">
        <f>ROW() - ROW(Table1[[#Headers],[ID]])</f>
        <v>63</v>
      </c>
    </row>
    <row r="65" spans="1:1" ht="15">
      <c r="A65" s="7">
        <f>ROW() - ROW(Table1[[#Headers],[ID]])</f>
        <v>64</v>
      </c>
    </row>
    <row r="66" spans="1:1" ht="15">
      <c r="A66" s="7">
        <f>ROW() - ROW(Table1[[#Headers],[ID]])</f>
        <v>65</v>
      </c>
    </row>
    <row r="67" spans="1:1" ht="15">
      <c r="A67" s="7">
        <f>ROW() - ROW(Table1[[#Headers],[ID]])</f>
        <v>66</v>
      </c>
    </row>
    <row r="68" spans="1:1" ht="15">
      <c r="A68" s="7">
        <f>ROW() - ROW(Table1[[#Headers],[ID]])</f>
        <v>67</v>
      </c>
    </row>
    <row r="69" spans="1:1" ht="15">
      <c r="A69" s="7">
        <f>ROW() - ROW(Table1[[#Headers],[ID]])</f>
        <v>68</v>
      </c>
    </row>
    <row r="70" spans="1:1" ht="15">
      <c r="A70" s="7">
        <f>ROW() - ROW(Table1[[#Headers],[ID]])</f>
        <v>69</v>
      </c>
    </row>
  </sheetData>
  <conditionalFormatting sqref="G2:G70">
    <cfRule type="cellIs" dxfId="9" priority="4" operator="equal">
      <formula>"NOK"</formula>
    </cfRule>
    <cfRule type="cellIs" dxfId="8" priority="5" operator="equal">
      <formula>"OK"</formula>
    </cfRule>
  </conditionalFormatting>
  <conditionalFormatting sqref="D2:D70">
    <cfRule type="cellIs" dxfId="7" priority="1" operator="equal">
      <formula>"Uitgevoerd"</formula>
    </cfRule>
    <cfRule type="cellIs" dxfId="6" priority="2" operator="equal">
      <formula>"In uitvoering"</formula>
    </cfRule>
    <cfRule type="cellIs" dxfId="5" priority="3" operator="equal">
      <formula>"Niet begonnen"</formula>
    </cfRule>
  </conditionalFormatting>
  <dataValidations count="2">
    <dataValidation type="list" allowBlank="1" showInputMessage="1" showErrorMessage="1" sqref="G2:G70" xr:uid="{77A05503-EF97-4781-9B81-AEBBE336745C}">
      <formula1>"OK, NOK"</formula1>
    </dataValidation>
    <dataValidation type="list" allowBlank="1" showInputMessage="1" showErrorMessage="1" sqref="D2:D70" xr:uid="{56669E2F-B76F-426D-831F-4C5B519F1E8A}">
      <formula1>"Niet begonnen, In uitvoering, Uitgevoerd"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4B3581-DDB5-4469-B35F-88C429D41E63}">
          <x14:formula1>
            <xm:f>Groepsleden!$A$1:$A$4</xm:f>
          </x14:formula1>
          <xm:sqref>E2:F70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C23B-DB0A-4527-8052-D2C124D58796}">
  <dimension ref="A1:A4"/>
  <sheetViews>
    <sheetView workbookViewId="0">
      <selection activeCell="A5" sqref="A5"/>
    </sheetView>
  </sheetViews>
  <sheetFormatPr defaultRowHeight="14.25"/>
  <cols>
    <col min="1" max="1" width="27.140625" customWidth="1"/>
  </cols>
  <sheetData>
    <row r="1" spans="1:1">
      <c r="A1" t="s">
        <v>9</v>
      </c>
    </row>
    <row r="2" spans="1:1">
      <c r="A2" t="s">
        <v>28</v>
      </c>
    </row>
    <row r="3" spans="1:1">
      <c r="A3" t="s">
        <v>16</v>
      </c>
    </row>
    <row r="4" spans="1:1">
      <c r="A4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D1D4E764DF7C43B3025E9F225EB302" ma:contentTypeVersion="3" ma:contentTypeDescription="Een nieuw document maken." ma:contentTypeScope="" ma:versionID="b40c02fbadd8a3578d2961a29ab4dc1f">
  <xsd:schema xmlns:xsd="http://www.w3.org/2001/XMLSchema" xmlns:xs="http://www.w3.org/2001/XMLSchema" xmlns:p="http://schemas.microsoft.com/office/2006/metadata/properties" xmlns:ns2="42d57927-6c36-4c25-b082-4088bb709fe0" targetNamespace="http://schemas.microsoft.com/office/2006/metadata/properties" ma:root="true" ma:fieldsID="a9509dab6a119b50e43247244f1fccea" ns2:_="">
    <xsd:import namespace="42d57927-6c36-4c25-b082-4088bb709f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57927-6c36-4c25-b082-4088bb709f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8A0642-8A4D-4537-BF11-939D40F47D07}"/>
</file>

<file path=customXml/itemProps2.xml><?xml version="1.0" encoding="utf-8"?>
<ds:datastoreItem xmlns:ds="http://schemas.openxmlformats.org/officeDocument/2006/customXml" ds:itemID="{A28BBACE-74D3-4D44-ACE2-2D0C74C4B639}"/>
</file>

<file path=customXml/itemProps3.xml><?xml version="1.0" encoding="utf-8"?>
<ds:datastoreItem xmlns:ds="http://schemas.openxmlformats.org/officeDocument/2006/customXml" ds:itemID="{6ABE980A-8160-45D0-811F-0CB5AD929E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Manderyck Isaac</dc:creator>
  <cp:keywords/>
  <dc:description/>
  <cp:lastModifiedBy>Meul Isaa [student]</cp:lastModifiedBy>
  <cp:revision/>
  <dcterms:created xsi:type="dcterms:W3CDTF">2025-10-03T11:28:28Z</dcterms:created>
  <dcterms:modified xsi:type="dcterms:W3CDTF">2025-11-03T20:59:26Z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0x01010075D1D4E764DF7C43B3025E9F225EB302</vt:lpwstr>
  </property>
</Properties>
</file>